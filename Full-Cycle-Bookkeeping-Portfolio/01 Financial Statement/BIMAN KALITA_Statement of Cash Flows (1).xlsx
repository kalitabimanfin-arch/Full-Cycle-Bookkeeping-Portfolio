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man Kalita\Downloads\"/>
    </mc:Choice>
  </mc:AlternateContent>
  <xr:revisionPtr revIDLastSave="0" documentId="13_ncr:1_{66268E23-E466-4446-A7F2-20A7A3B114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6" i="1" l="1"/>
  <c r="B24" i="1"/>
  <c r="B18" i="1"/>
  <c r="B14" i="1"/>
  <c r="B15" i="1" s="1"/>
  <c r="B25" i="1" s="1"/>
</calcChain>
</file>

<file path=xl/sharedStrings.xml><?xml version="1.0" encoding="utf-8"?>
<sst xmlns="http://schemas.openxmlformats.org/spreadsheetml/2006/main" count="28" uniqueCount="28">
  <si>
    <t>BIMAN KALITA</t>
  </si>
  <si>
    <t>Statement of Cash Flows</t>
  </si>
  <si>
    <t>January-March, 2026</t>
  </si>
  <si>
    <t>OPERATING ACTIVITIES</t>
  </si>
  <si>
    <t>Net Income</t>
  </si>
  <si>
    <t>Adjustments to reconcile Net Income to Net Cash provided by operations:</t>
  </si>
  <si>
    <t>Accounts Payable</t>
  </si>
  <si>
    <t>Accounts Receivable</t>
  </si>
  <si>
    <t>Accumulated Depreciation - Equipment</t>
  </si>
  <si>
    <t>Deferred Revenue</t>
  </si>
  <si>
    <t>Prepaid Insurance</t>
  </si>
  <si>
    <t>Total for Adjustments to reconcile Net Income to Net Cash provided by operations:</t>
  </si>
  <si>
    <t>Net cash provided by operating activities</t>
  </si>
  <si>
    <t>INVESTING ACTIVITIES</t>
  </si>
  <si>
    <t>Office Equipment</t>
  </si>
  <si>
    <t>Net cash provided by investing activities</t>
  </si>
  <si>
    <t>FINANCING ACTIVITIES</t>
  </si>
  <si>
    <t>Owner's Capital - Member A</t>
  </si>
  <si>
    <t>Owner's Capital - Member B</t>
  </si>
  <si>
    <t>Owner's Draw - Member A</t>
  </si>
  <si>
    <t>Owner's Draw - Member B</t>
  </si>
  <si>
    <t>Net cash provided by financing activities</t>
  </si>
  <si>
    <t>NET CASH INCREASE FOR PERIOD</t>
  </si>
  <si>
    <t>Cash at beginning of period</t>
  </si>
  <si>
    <t>CASH AT END OF PERIOD</t>
  </si>
  <si>
    <t>Account Name</t>
  </si>
  <si>
    <t>Total</t>
  </si>
  <si>
    <t xml:space="preserve"> Wednesday, September 16, 2026 05:10 PM GMT+05:30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</si>
</sst>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18">
    <xf numFmtId="0" fontId="0" fillId="0" borderId="0" xfId="0"/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wrapText="1" indent="1"/>
    </xf>
    <xf numFmtId="0" fontId="2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3" fillId="0" borderId="1" xfId="1" applyFont="1" applyAlignment="1">
      <alignment horizontal="center" wrapText="1"/>
    </xf>
    <xf numFmtId="4" fontId="2" fillId="0" borderId="0" xfId="0" applyNumberFormat="1" applyFont="1" applyAlignment="1">
      <alignment wrapText="1"/>
    </xf>
    <xf numFmtId="164" fontId="4" fillId="0" borderId="2" xfId="0" applyNumberFormat="1" applyFont="1" applyBorder="1" applyAlignment="1">
      <alignment wrapText="1"/>
    </xf>
    <xf numFmtId="0" fontId="6" fillId="2" borderId="0" xfId="0" applyFont="1" applyFill="1" applyAlignment="1">
      <alignment horizontal="center" wrapText="1"/>
    </xf>
    <xf numFmtId="0" fontId="0" fillId="2" borderId="0" xfId="0" applyFill="1" applyAlignment="1">
      <alignment wrapText="1"/>
    </xf>
    <xf numFmtId="0" fontId="4" fillId="2" borderId="0" xfId="0" applyFont="1" applyFill="1" applyAlignment="1">
      <alignment horizontal="left" wrapText="1"/>
    </xf>
    <xf numFmtId="164" fontId="4" fillId="2" borderId="2" xfId="0" applyNumberFormat="1" applyFont="1" applyFill="1" applyBorder="1" applyAlignment="1">
      <alignment wrapText="1"/>
    </xf>
  </cellXfs>
  <cellStyles count="4"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B31"/>
  <sheetViews>
    <sheetView tabSelected="1" zoomScale="90" zoomScaleNormal="90" workbookViewId="0">
      <selection activeCell="B27" sqref="B27"/>
    </sheetView>
  </sheetViews>
  <sheetFormatPr defaultColWidth="11.296875" defaultRowHeight="15.6" x14ac:dyDescent="0.3"/>
  <cols>
    <col min="1" max="1" width="70.19921875" style="10" customWidth="1"/>
    <col min="2" max="2" width="16.09765625" style="10" customWidth="1"/>
  </cols>
  <sheetData>
    <row r="1" spans="1:2" x14ac:dyDescent="0.3">
      <c r="A1" s="4" t="s">
        <v>0</v>
      </c>
      <c r="B1" s="3"/>
    </row>
    <row r="2" spans="1:2" x14ac:dyDescent="0.3">
      <c r="A2" s="14" t="s">
        <v>1</v>
      </c>
      <c r="B2" s="15"/>
    </row>
    <row r="3" spans="1:2" x14ac:dyDescent="0.3">
      <c r="A3" s="2" t="s">
        <v>2</v>
      </c>
      <c r="B3" s="3"/>
    </row>
    <row r="5" spans="1:2" x14ac:dyDescent="0.3">
      <c r="A5" s="11" t="s">
        <v>25</v>
      </c>
      <c r="B5" s="11" t="s">
        <v>26</v>
      </c>
    </row>
    <row r="6" spans="1:2" x14ac:dyDescent="0.3">
      <c r="A6" s="5" t="s">
        <v>3</v>
      </c>
    </row>
    <row r="7" spans="1:2" x14ac:dyDescent="0.3">
      <c r="A7" s="6" t="s">
        <v>4</v>
      </c>
      <c r="B7" s="12">
        <v>44456.9</v>
      </c>
    </row>
    <row r="8" spans="1:2" x14ac:dyDescent="0.3">
      <c r="A8" s="6" t="s">
        <v>5</v>
      </c>
    </row>
    <row r="9" spans="1:2" x14ac:dyDescent="0.3">
      <c r="A9" s="7" t="s">
        <v>6</v>
      </c>
      <c r="B9" s="12">
        <v>10103.16</v>
      </c>
    </row>
    <row r="10" spans="1:2" x14ac:dyDescent="0.3">
      <c r="A10" s="7" t="s">
        <v>7</v>
      </c>
      <c r="B10" s="12">
        <v>-62169.23</v>
      </c>
    </row>
    <row r="11" spans="1:2" x14ac:dyDescent="0.3">
      <c r="A11" s="7" t="s">
        <v>8</v>
      </c>
      <c r="B11" s="12">
        <v>666.67</v>
      </c>
    </row>
    <row r="12" spans="1:2" x14ac:dyDescent="0.3">
      <c r="A12" s="7" t="s">
        <v>9</v>
      </c>
      <c r="B12" s="12">
        <v>5000</v>
      </c>
    </row>
    <row r="13" spans="1:2" x14ac:dyDescent="0.3">
      <c r="A13" s="7" t="s">
        <v>10</v>
      </c>
      <c r="B13" s="12">
        <v>-3300</v>
      </c>
    </row>
    <row r="14" spans="1:2" x14ac:dyDescent="0.3">
      <c r="A14" s="8" t="s">
        <v>11</v>
      </c>
      <c r="B14" s="13">
        <f>B8+B9+B10+B11+B12+B13</f>
        <v>-49699.400000000009</v>
      </c>
    </row>
    <row r="15" spans="1:2" x14ac:dyDescent="0.3">
      <c r="A15" s="16" t="s">
        <v>12</v>
      </c>
      <c r="B15" s="17">
        <f>B6+B7+B14</f>
        <v>-5242.5000000000073</v>
      </c>
    </row>
    <row r="16" spans="1:2" x14ac:dyDescent="0.3">
      <c r="A16" s="5" t="s">
        <v>13</v>
      </c>
    </row>
    <row r="17" spans="1:2" x14ac:dyDescent="0.3">
      <c r="A17" s="6" t="s">
        <v>14</v>
      </c>
      <c r="B17" s="12">
        <v>-8500</v>
      </c>
    </row>
    <row r="18" spans="1:2" x14ac:dyDescent="0.3">
      <c r="A18" s="16" t="s">
        <v>15</v>
      </c>
      <c r="B18" s="17">
        <f>B16+B17</f>
        <v>-8500</v>
      </c>
    </row>
    <row r="19" spans="1:2" x14ac:dyDescent="0.3">
      <c r="A19" s="5" t="s">
        <v>16</v>
      </c>
    </row>
    <row r="20" spans="1:2" x14ac:dyDescent="0.3">
      <c r="A20" s="6" t="s">
        <v>17</v>
      </c>
      <c r="B20" s="12">
        <v>15000</v>
      </c>
    </row>
    <row r="21" spans="1:2" x14ac:dyDescent="0.3">
      <c r="A21" s="6" t="s">
        <v>18</v>
      </c>
      <c r="B21" s="12">
        <v>15000</v>
      </c>
    </row>
    <row r="22" spans="1:2" x14ac:dyDescent="0.3">
      <c r="A22" s="6" t="s">
        <v>19</v>
      </c>
      <c r="B22" s="12">
        <v>-6000</v>
      </c>
    </row>
    <row r="23" spans="1:2" x14ac:dyDescent="0.3">
      <c r="A23" s="6" t="s">
        <v>20</v>
      </c>
      <c r="B23" s="12">
        <v>-6000</v>
      </c>
    </row>
    <row r="24" spans="1:2" x14ac:dyDescent="0.3">
      <c r="A24" s="9" t="s">
        <v>21</v>
      </c>
      <c r="B24" s="13">
        <f>B19+B20+B21+B22+B23</f>
        <v>18000</v>
      </c>
    </row>
    <row r="25" spans="1:2" x14ac:dyDescent="0.3">
      <c r="A25" s="9" t="s">
        <v>22</v>
      </c>
      <c r="B25" s="13">
        <f>B15+B18+B24</f>
        <v>4257.4999999999927</v>
      </c>
    </row>
    <row r="26" spans="1:2" x14ac:dyDescent="0.3">
      <c r="A26" s="9" t="s">
        <v>23</v>
      </c>
      <c r="B26" s="13" t="e">
        <f ca="1">IF(notnull(0),-1*0,0)</f>
        <v>#NAME?</v>
      </c>
    </row>
    <row r="27" spans="1:2" x14ac:dyDescent="0.3">
      <c r="A27" s="16" t="s">
        <v>24</v>
      </c>
      <c r="B27" s="17">
        <v>4257.4999999999927</v>
      </c>
    </row>
    <row r="31" spans="1:2" x14ac:dyDescent="0.3">
      <c r="A31" s="1" t="s">
        <v>27</v>
      </c>
      <c r="B31" s="3"/>
    </row>
  </sheetData>
  <mergeCells count="4">
    <mergeCell ref="A1:B1"/>
    <mergeCell ref="A2:B2"/>
    <mergeCell ref="A3:B3"/>
    <mergeCell ref="A31:B3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Biman Kalita</cp:lastModifiedBy>
  <dcterms:created xsi:type="dcterms:W3CDTF">2022-03-24T08:55:57Z</dcterms:created>
  <dcterms:modified xsi:type="dcterms:W3CDTF">2026-09-16T11:46:33Z</dcterms:modified>
  <cp:category/>
</cp:coreProperties>
</file>