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man Kalita\Downloads\"/>
    </mc:Choice>
  </mc:AlternateContent>
  <xr:revisionPtr revIDLastSave="0" documentId="13_ncr:1_{43240E7C-8F82-42A4-9A52-CEFE046D07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8" i="1" l="1"/>
  <c r="B29" i="1" s="1"/>
  <c r="B24" i="1"/>
  <c r="B11" i="1"/>
  <c r="B12" i="1" s="1"/>
  <c r="B25" i="1" s="1"/>
  <c r="B30" i="1" s="1"/>
</calcChain>
</file>

<file path=xl/sharedStrings.xml><?xml version="1.0" encoding="utf-8"?>
<sst xmlns="http://schemas.openxmlformats.org/spreadsheetml/2006/main" count="31" uniqueCount="31">
  <si>
    <t>BIMAN KALITA</t>
  </si>
  <si>
    <t>Profit and Loss</t>
  </si>
  <si>
    <t>January-March, 2026</t>
  </si>
  <si>
    <t>Income</t>
  </si>
  <si>
    <t>Branding Package Revenue</t>
  </si>
  <si>
    <t>Consulting Revenue</t>
  </si>
  <si>
    <t>Design Services Revenue</t>
  </si>
  <si>
    <t>Discounts &amp; Refunds</t>
  </si>
  <si>
    <t>Total for Income</t>
  </si>
  <si>
    <t>Gross Profit</t>
  </si>
  <si>
    <t>Expenses</t>
  </si>
  <si>
    <t>Bank Fees</t>
  </si>
  <si>
    <t>Depreciation Expense</t>
  </si>
  <si>
    <t>Insurance Expense</t>
  </si>
  <si>
    <t>Marketing &amp; Advertising</t>
  </si>
  <si>
    <t>Office Supplies</t>
  </si>
  <si>
    <t>Payroll Taxes</t>
  </si>
  <si>
    <t>Professional Fees</t>
  </si>
  <si>
    <t>Rent Expense</t>
  </si>
  <si>
    <t>Salaries &amp; Wages</t>
  </si>
  <si>
    <t>Software Subscriptions</t>
  </si>
  <si>
    <t>Total for Expenses</t>
  </si>
  <si>
    <t>Net Operating Income</t>
  </si>
  <si>
    <t>Other Income</t>
  </si>
  <si>
    <t>Interest Income</t>
  </si>
  <si>
    <t>Total for Other Income</t>
  </si>
  <si>
    <t>Net Other Income</t>
  </si>
  <si>
    <t>Net Income</t>
  </si>
  <si>
    <t/>
  </si>
  <si>
    <t>Total</t>
  </si>
  <si>
    <t>Accrual Basis Wednesday, September 16, 2026 04:40 PM GMT+05:30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</si>
</sst>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1" fillId="0" borderId="1"/>
    <xf numFmtId="0" fontId="1" fillId="0" borderId="0"/>
    <xf numFmtId="0" fontId="1" fillId="0" borderId="2"/>
  </cellStyleXfs>
  <cellXfs count="16">
    <xf numFmtId="0" fontId="0" fillId="0" borderId="0" xfId="0"/>
    <xf numFmtId="0" fontId="2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7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3" fillId="0" borderId="1" xfId="1" applyFont="1" applyAlignment="1">
      <alignment horizontal="center" wrapText="1"/>
    </xf>
    <xf numFmtId="4" fontId="2" fillId="0" borderId="0" xfId="0" applyNumberFormat="1" applyFont="1" applyAlignment="1">
      <alignment wrapText="1"/>
    </xf>
    <xf numFmtId="164" fontId="4" fillId="0" borderId="2" xfId="0" applyNumberFormat="1" applyFont="1" applyBorder="1" applyAlignment="1">
      <alignment wrapText="1"/>
    </xf>
    <xf numFmtId="0" fontId="6" fillId="2" borderId="0" xfId="0" applyFont="1" applyFill="1" applyAlignment="1">
      <alignment horizontal="center" wrapText="1"/>
    </xf>
    <xf numFmtId="0" fontId="0" fillId="2" borderId="0" xfId="0" applyFill="1" applyAlignment="1">
      <alignment wrapText="1"/>
    </xf>
    <xf numFmtId="0" fontId="4" fillId="3" borderId="0" xfId="0" applyFont="1" applyFill="1" applyAlignment="1">
      <alignment horizontal="left" wrapText="1"/>
    </xf>
    <xf numFmtId="164" fontId="4" fillId="3" borderId="2" xfId="0" applyNumberFormat="1" applyFont="1" applyFill="1" applyBorder="1" applyAlignment="1">
      <alignment wrapText="1"/>
    </xf>
  </cellXfs>
  <cellStyles count="4">
    <cellStyle name="GroupedCellStyle" xfId="2" xr:uid="{00000000-0005-0000-0000-000007000000}"/>
    <cellStyle name="HeaderCellStyle" xfId="1" xr:uid="{00000000-0005-0000-0000-000006000000}"/>
    <cellStyle name="Normal" xfId="0" builtinId="0"/>
    <cellStyle name="TotalCellStyle" xfId="3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B3FEF-A70D-B944-82F4-C9836B181100}">
  <dimension ref="A1:B34"/>
  <sheetViews>
    <sheetView tabSelected="1" topLeftCell="A7" zoomScaleNormal="100" workbookViewId="0">
      <selection activeCell="G31" sqref="G31"/>
    </sheetView>
  </sheetViews>
  <sheetFormatPr defaultColWidth="11.296875" defaultRowHeight="15.6" x14ac:dyDescent="0.3"/>
  <cols>
    <col min="1" max="1" width="21.19921875" style="8" customWidth="1"/>
    <col min="2" max="2" width="16.09765625" style="8" customWidth="1"/>
  </cols>
  <sheetData>
    <row r="1" spans="1:2" x14ac:dyDescent="0.3">
      <c r="A1" s="4" t="s">
        <v>0</v>
      </c>
      <c r="B1" s="3"/>
    </row>
    <row r="2" spans="1:2" x14ac:dyDescent="0.3">
      <c r="A2" s="12" t="s">
        <v>1</v>
      </c>
      <c r="B2" s="13"/>
    </row>
    <row r="3" spans="1:2" x14ac:dyDescent="0.3">
      <c r="A3" s="2" t="s">
        <v>2</v>
      </c>
      <c r="B3" s="3"/>
    </row>
    <row r="5" spans="1:2" x14ac:dyDescent="0.3">
      <c r="A5" s="9" t="s">
        <v>28</v>
      </c>
      <c r="B5" s="9" t="s">
        <v>29</v>
      </c>
    </row>
    <row r="6" spans="1:2" x14ac:dyDescent="0.3">
      <c r="A6" s="5" t="s">
        <v>3</v>
      </c>
    </row>
    <row r="7" spans="1:2" x14ac:dyDescent="0.3">
      <c r="A7" s="6" t="s">
        <v>4</v>
      </c>
      <c r="B7" s="10">
        <v>12965.24</v>
      </c>
    </row>
    <row r="8" spans="1:2" x14ac:dyDescent="0.3">
      <c r="A8" s="6" t="s">
        <v>5</v>
      </c>
      <c r="B8" s="10">
        <v>17496.78</v>
      </c>
    </row>
    <row r="9" spans="1:2" x14ac:dyDescent="0.3">
      <c r="A9" s="6" t="s">
        <v>6</v>
      </c>
      <c r="B9" s="10">
        <v>31707.21</v>
      </c>
    </row>
    <row r="10" spans="1:2" x14ac:dyDescent="0.3">
      <c r="A10" s="6" t="s">
        <v>7</v>
      </c>
      <c r="B10" s="10">
        <v>-400</v>
      </c>
    </row>
    <row r="11" spans="1:2" x14ac:dyDescent="0.3">
      <c r="A11" s="7" t="s">
        <v>8</v>
      </c>
      <c r="B11" s="11">
        <f>B6+B7+B8+B9+B10</f>
        <v>61769.229999999996</v>
      </c>
    </row>
    <row r="12" spans="1:2" x14ac:dyDescent="0.3">
      <c r="A12" s="14" t="s">
        <v>9</v>
      </c>
      <c r="B12" s="15">
        <f>B11-0</f>
        <v>61769.229999999996</v>
      </c>
    </row>
    <row r="13" spans="1:2" x14ac:dyDescent="0.3">
      <c r="A13" s="5" t="s">
        <v>10</v>
      </c>
    </row>
    <row r="14" spans="1:2" x14ac:dyDescent="0.3">
      <c r="A14" s="6" t="s">
        <v>11</v>
      </c>
      <c r="B14" s="10">
        <v>65</v>
      </c>
    </row>
    <row r="15" spans="1:2" x14ac:dyDescent="0.3">
      <c r="A15" s="6" t="s">
        <v>12</v>
      </c>
      <c r="B15" s="10">
        <v>666.67</v>
      </c>
    </row>
    <row r="16" spans="1:2" x14ac:dyDescent="0.3">
      <c r="A16" s="6" t="s">
        <v>13</v>
      </c>
      <c r="B16" s="10">
        <v>600</v>
      </c>
    </row>
    <row r="17" spans="1:2" x14ac:dyDescent="0.3">
      <c r="A17" s="6" t="s">
        <v>14</v>
      </c>
      <c r="B17" s="10">
        <v>2450</v>
      </c>
    </row>
    <row r="18" spans="1:2" x14ac:dyDescent="0.3">
      <c r="A18" s="6" t="s">
        <v>15</v>
      </c>
      <c r="B18" s="10">
        <v>1395.2</v>
      </c>
    </row>
    <row r="19" spans="1:2" x14ac:dyDescent="0.3">
      <c r="A19" s="6" t="s">
        <v>16</v>
      </c>
      <c r="B19" s="10">
        <v>540</v>
      </c>
    </row>
    <row r="20" spans="1:2" x14ac:dyDescent="0.3">
      <c r="A20" s="6" t="s">
        <v>17</v>
      </c>
      <c r="B20" s="10">
        <v>400</v>
      </c>
    </row>
    <row r="21" spans="1:2" x14ac:dyDescent="0.3">
      <c r="A21" s="6" t="s">
        <v>18</v>
      </c>
      <c r="B21" s="10">
        <v>4500</v>
      </c>
    </row>
    <row r="22" spans="1:2" x14ac:dyDescent="0.3">
      <c r="A22" s="6" t="s">
        <v>19</v>
      </c>
      <c r="B22" s="10">
        <v>5400</v>
      </c>
    </row>
    <row r="23" spans="1:2" x14ac:dyDescent="0.3">
      <c r="A23" s="6" t="s">
        <v>20</v>
      </c>
      <c r="B23" s="10">
        <v>1307.96</v>
      </c>
    </row>
    <row r="24" spans="1:2" x14ac:dyDescent="0.3">
      <c r="A24" s="7" t="s">
        <v>21</v>
      </c>
      <c r="B24" s="11">
        <f>B13+B14+B15+B16+B17+B18+B19+B20+B21+B22+B23</f>
        <v>17324.829999999998</v>
      </c>
    </row>
    <row r="25" spans="1:2" x14ac:dyDescent="0.3">
      <c r="A25" s="14" t="s">
        <v>22</v>
      </c>
      <c r="B25" s="15">
        <f>B12-B24</f>
        <v>44444.399999999994</v>
      </c>
    </row>
    <row r="26" spans="1:2" x14ac:dyDescent="0.3">
      <c r="A26" s="5" t="s">
        <v>23</v>
      </c>
    </row>
    <row r="27" spans="1:2" x14ac:dyDescent="0.3">
      <c r="A27" s="6" t="s">
        <v>24</v>
      </c>
      <c r="B27" s="10">
        <v>12.5</v>
      </c>
    </row>
    <row r="28" spans="1:2" x14ac:dyDescent="0.3">
      <c r="A28" s="7" t="s">
        <v>25</v>
      </c>
      <c r="B28" s="11">
        <f>B26+B27</f>
        <v>12.5</v>
      </c>
    </row>
    <row r="29" spans="1:2" x14ac:dyDescent="0.3">
      <c r="A29" s="7" t="s">
        <v>26</v>
      </c>
      <c r="B29" s="11">
        <f>B28-0</f>
        <v>12.5</v>
      </c>
    </row>
    <row r="30" spans="1:2" x14ac:dyDescent="0.3">
      <c r="A30" s="14" t="s">
        <v>27</v>
      </c>
      <c r="B30" s="15">
        <f>B25+B29</f>
        <v>44456.899999999994</v>
      </c>
    </row>
    <row r="34" spans="1:2" ht="27" customHeight="1" x14ac:dyDescent="0.3">
      <c r="A34" s="1" t="s">
        <v>30</v>
      </c>
      <c r="B34" s="3"/>
    </row>
  </sheetData>
  <mergeCells count="4">
    <mergeCell ref="A1:B1"/>
    <mergeCell ref="A2:B2"/>
    <mergeCell ref="A3:B3"/>
    <mergeCell ref="A34:B34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Biman Kalita</cp:lastModifiedBy>
  <dcterms:created xsi:type="dcterms:W3CDTF">2022-03-24T08:55:57Z</dcterms:created>
  <dcterms:modified xsi:type="dcterms:W3CDTF">2026-09-16T11:46:35Z</dcterms:modified>
  <cp:category/>
</cp:coreProperties>
</file>