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man Kalita\Desktop\Project 4\01 Financial Statement\"/>
    </mc:Choice>
  </mc:AlternateContent>
  <xr:revisionPtr revIDLastSave="0" documentId="13_ncr:1_{699D59CC-3AD9-4C04-BEC4-10390AAAB3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1" l="1"/>
  <c r="B31" i="1"/>
  <c r="B28" i="1"/>
  <c r="B32" i="1" s="1"/>
  <c r="B33" i="1" s="1"/>
  <c r="B42" i="1" s="1"/>
  <c r="B21" i="1"/>
  <c r="B16" i="1"/>
  <c r="B13" i="1"/>
  <c r="B10" i="1"/>
  <c r="B17" i="1" s="1"/>
  <c r="B22" i="1" s="1"/>
</calcChain>
</file>

<file path=xl/sharedStrings.xml><?xml version="1.0" encoding="utf-8"?>
<sst xmlns="http://schemas.openxmlformats.org/spreadsheetml/2006/main" count="43" uniqueCount="41">
  <si>
    <t>BIMAN KALITA</t>
  </si>
  <si>
    <t>Balance Sheet</t>
  </si>
  <si>
    <t>Assets</t>
  </si>
  <si>
    <t>Current Assets</t>
  </si>
  <si>
    <t>Bank Accounts</t>
  </si>
  <si>
    <t>Business Checking - Chase</t>
  </si>
  <si>
    <t>Total for Bank Accounts</t>
  </si>
  <si>
    <t>Accounts Receivable</t>
  </si>
  <si>
    <t>Total for Accounts Receivable</t>
  </si>
  <si>
    <t>Other Current Assets</t>
  </si>
  <si>
    <t>Prepaid Insurance</t>
  </si>
  <si>
    <t>Total for Other Current Assets</t>
  </si>
  <si>
    <t>Total for Current Assets</t>
  </si>
  <si>
    <t>Fixed Assets</t>
  </si>
  <si>
    <t>Accumulated Depreciation - Equipment</t>
  </si>
  <si>
    <t>Office Equipment</t>
  </si>
  <si>
    <t>Total for Fixed Assets</t>
  </si>
  <si>
    <t>Total for Assets</t>
  </si>
  <si>
    <t>Liabilities and Equity</t>
  </si>
  <si>
    <t>Liabilities</t>
  </si>
  <si>
    <t>Current Liabilities</t>
  </si>
  <si>
    <t>Accounts Payable</t>
  </si>
  <si>
    <t>Total for Accounts Payable</t>
  </si>
  <si>
    <t>Other Current Liabilities</t>
  </si>
  <si>
    <t>Deferred Revenue</t>
  </si>
  <si>
    <t>Total for Other Current Liabilities</t>
  </si>
  <si>
    <t>Total for Current Liabilities</t>
  </si>
  <si>
    <t>Total for Liabilities</t>
  </si>
  <si>
    <t>Equity</t>
  </si>
  <si>
    <t>Owner's Capital - Member A</t>
  </si>
  <si>
    <t>Owner's Capital - Member B</t>
  </si>
  <si>
    <t>Owner's Draw - Member A</t>
  </si>
  <si>
    <t>Owner's Draw - Member B</t>
  </si>
  <si>
    <t>Retained Earnings</t>
  </si>
  <si>
    <t>Net Income</t>
  </si>
  <si>
    <t>Total for Equity</t>
  </si>
  <si>
    <t>Total for Liabilities and Equity</t>
  </si>
  <si>
    <t/>
  </si>
  <si>
    <t>Total</t>
  </si>
  <si>
    <t>Accrual Basis Wednesday, September 16, 2026 04:48 PM GMT+05:30</t>
  </si>
  <si>
    <t>As of Mar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</si>
</sst>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22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2"/>
    </xf>
    <xf numFmtId="0" fontId="2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4"/>
    </xf>
    <xf numFmtId="0" fontId="4" fillId="0" borderId="0" xfId="0" applyFont="1" applyAlignment="1">
      <alignment horizontal="left" wrapText="1" indent="3"/>
    </xf>
    <xf numFmtId="0" fontId="3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164" fontId="4" fillId="0" borderId="2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left" wrapText="1"/>
    </xf>
    <xf numFmtId="164" fontId="4" fillId="2" borderId="2" xfId="0" applyNumberFormat="1" applyFont="1" applyFill="1" applyBorder="1" applyAlignment="1">
      <alignment wrapText="1"/>
    </xf>
    <xf numFmtId="0" fontId="7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2" borderId="0" xfId="0" applyFont="1" applyFill="1" applyAlignment="1">
      <alignment horizontal="center" wrapText="1"/>
    </xf>
    <xf numFmtId="0" fontId="0" fillId="2" borderId="0" xfId="0" applyFill="1" applyAlignment="1">
      <alignment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B46"/>
  <sheetViews>
    <sheetView tabSelected="1" zoomScale="90" zoomScaleNormal="90" workbookViewId="0">
      <selection activeCell="E5" sqref="E5"/>
    </sheetView>
  </sheetViews>
  <sheetFormatPr defaultColWidth="11.296875" defaultRowHeight="15.6" x14ac:dyDescent="0.3"/>
  <cols>
    <col min="1" max="1" width="31.59765625" style="1" customWidth="1"/>
    <col min="2" max="2" width="16.09765625" style="1" customWidth="1"/>
  </cols>
  <sheetData>
    <row r="1" spans="1:2" x14ac:dyDescent="0.3">
      <c r="A1" s="16" t="s">
        <v>0</v>
      </c>
      <c r="B1" s="17"/>
    </row>
    <row r="2" spans="1:2" x14ac:dyDescent="0.3">
      <c r="A2" s="18" t="s">
        <v>1</v>
      </c>
      <c r="B2" s="19"/>
    </row>
    <row r="3" spans="1:2" x14ac:dyDescent="0.3">
      <c r="A3" s="20" t="s">
        <v>40</v>
      </c>
      <c r="B3" s="17"/>
    </row>
    <row r="5" spans="1:2" x14ac:dyDescent="0.3">
      <c r="A5" s="10" t="s">
        <v>37</v>
      </c>
      <c r="B5" s="10" t="s">
        <v>38</v>
      </c>
    </row>
    <row r="6" spans="1:2" x14ac:dyDescent="0.3">
      <c r="A6" s="2" t="s">
        <v>2</v>
      </c>
    </row>
    <row r="7" spans="1:2" x14ac:dyDescent="0.3">
      <c r="A7" s="3" t="s">
        <v>3</v>
      </c>
    </row>
    <row r="8" spans="1:2" x14ac:dyDescent="0.3">
      <c r="A8" s="4" t="s">
        <v>4</v>
      </c>
    </row>
    <row r="9" spans="1:2" x14ac:dyDescent="0.3">
      <c r="A9" s="5" t="s">
        <v>5</v>
      </c>
      <c r="B9" s="11">
        <v>4257.5</v>
      </c>
    </row>
    <row r="10" spans="1:2" x14ac:dyDescent="0.3">
      <c r="A10" s="6" t="s">
        <v>6</v>
      </c>
      <c r="B10" s="12">
        <f>B8+B9</f>
        <v>4257.5</v>
      </c>
    </row>
    <row r="11" spans="1:2" x14ac:dyDescent="0.3">
      <c r="A11" s="4" t="s">
        <v>7</v>
      </c>
    </row>
    <row r="12" spans="1:2" x14ac:dyDescent="0.3">
      <c r="A12" s="5" t="s">
        <v>7</v>
      </c>
      <c r="B12" s="11">
        <v>62169.23</v>
      </c>
    </row>
    <row r="13" spans="1:2" x14ac:dyDescent="0.3">
      <c r="A13" s="6" t="s">
        <v>8</v>
      </c>
      <c r="B13" s="12">
        <f>B11+B12</f>
        <v>62169.23</v>
      </c>
    </row>
    <row r="14" spans="1:2" x14ac:dyDescent="0.3">
      <c r="A14" s="4" t="s">
        <v>9</v>
      </c>
    </row>
    <row r="15" spans="1:2" x14ac:dyDescent="0.3">
      <c r="A15" s="5" t="s">
        <v>10</v>
      </c>
      <c r="B15" s="11">
        <v>3300</v>
      </c>
    </row>
    <row r="16" spans="1:2" x14ac:dyDescent="0.3">
      <c r="A16" s="6" t="s">
        <v>11</v>
      </c>
      <c r="B16" s="12">
        <f>B14+B15</f>
        <v>3300</v>
      </c>
    </row>
    <row r="17" spans="1:2" x14ac:dyDescent="0.3">
      <c r="A17" s="7" t="s">
        <v>12</v>
      </c>
      <c r="B17" s="12">
        <f>B7+B10+B13+B16</f>
        <v>69726.73000000001</v>
      </c>
    </row>
    <row r="18" spans="1:2" x14ac:dyDescent="0.3">
      <c r="A18" s="3" t="s">
        <v>13</v>
      </c>
    </row>
    <row r="19" spans="1:2" x14ac:dyDescent="0.3">
      <c r="A19" s="4" t="s">
        <v>14</v>
      </c>
      <c r="B19" s="11">
        <v>-666.67</v>
      </c>
    </row>
    <row r="20" spans="1:2" x14ac:dyDescent="0.3">
      <c r="A20" s="4" t="s">
        <v>15</v>
      </c>
      <c r="B20" s="11">
        <v>8500</v>
      </c>
    </row>
    <row r="21" spans="1:2" x14ac:dyDescent="0.3">
      <c r="A21" s="7" t="s">
        <v>16</v>
      </c>
      <c r="B21" s="12">
        <f>B18+B19+B20</f>
        <v>7833.33</v>
      </c>
    </row>
    <row r="22" spans="1:2" x14ac:dyDescent="0.3">
      <c r="A22" s="14" t="s">
        <v>17</v>
      </c>
      <c r="B22" s="15">
        <f>B6+B17+B21</f>
        <v>77560.060000000012</v>
      </c>
    </row>
    <row r="23" spans="1:2" x14ac:dyDescent="0.3">
      <c r="A23" s="2" t="s">
        <v>18</v>
      </c>
    </row>
    <row r="24" spans="1:2" x14ac:dyDescent="0.3">
      <c r="A24" s="3" t="s">
        <v>19</v>
      </c>
    </row>
    <row r="25" spans="1:2" x14ac:dyDescent="0.3">
      <c r="A25" s="4" t="s">
        <v>20</v>
      </c>
    </row>
    <row r="26" spans="1:2" x14ac:dyDescent="0.3">
      <c r="A26" s="5" t="s">
        <v>21</v>
      </c>
    </row>
    <row r="27" spans="1:2" x14ac:dyDescent="0.3">
      <c r="A27" s="8" t="s">
        <v>21</v>
      </c>
      <c r="B27" s="11">
        <v>10103.16</v>
      </c>
    </row>
    <row r="28" spans="1:2" x14ac:dyDescent="0.3">
      <c r="A28" s="9" t="s">
        <v>22</v>
      </c>
      <c r="B28" s="12">
        <f>B26+B27</f>
        <v>10103.16</v>
      </c>
    </row>
    <row r="29" spans="1:2" x14ac:dyDescent="0.3">
      <c r="A29" s="5" t="s">
        <v>23</v>
      </c>
    </row>
    <row r="30" spans="1:2" x14ac:dyDescent="0.3">
      <c r="A30" s="8" t="s">
        <v>24</v>
      </c>
      <c r="B30" s="11">
        <v>5000</v>
      </c>
    </row>
    <row r="31" spans="1:2" x14ac:dyDescent="0.3">
      <c r="A31" s="9" t="s">
        <v>25</v>
      </c>
      <c r="B31" s="12">
        <f>B29+B30</f>
        <v>5000</v>
      </c>
    </row>
    <row r="32" spans="1:2" x14ac:dyDescent="0.3">
      <c r="A32" s="6" t="s">
        <v>26</v>
      </c>
      <c r="B32" s="12">
        <f>B25+B28+B31</f>
        <v>15103.16</v>
      </c>
    </row>
    <row r="33" spans="1:2" x14ac:dyDescent="0.3">
      <c r="A33" s="7" t="s">
        <v>27</v>
      </c>
      <c r="B33" s="12">
        <f>B24+B32</f>
        <v>15103.16</v>
      </c>
    </row>
    <row r="34" spans="1:2" x14ac:dyDescent="0.3">
      <c r="A34" s="3" t="s">
        <v>28</v>
      </c>
    </row>
    <row r="35" spans="1:2" x14ac:dyDescent="0.3">
      <c r="A35" s="4" t="s">
        <v>29</v>
      </c>
      <c r="B35" s="11">
        <v>15000</v>
      </c>
    </row>
    <row r="36" spans="1:2" x14ac:dyDescent="0.3">
      <c r="A36" s="4" t="s">
        <v>30</v>
      </c>
      <c r="B36" s="11">
        <v>15000</v>
      </c>
    </row>
    <row r="37" spans="1:2" x14ac:dyDescent="0.3">
      <c r="A37" s="4" t="s">
        <v>31</v>
      </c>
      <c r="B37" s="11">
        <v>-6000</v>
      </c>
    </row>
    <row r="38" spans="1:2" x14ac:dyDescent="0.3">
      <c r="A38" s="4" t="s">
        <v>32</v>
      </c>
      <c r="B38" s="11">
        <v>-6000</v>
      </c>
    </row>
    <row r="39" spans="1:2" x14ac:dyDescent="0.3">
      <c r="A39" s="4" t="s">
        <v>33</v>
      </c>
      <c r="B39" s="13"/>
    </row>
    <row r="40" spans="1:2" x14ac:dyDescent="0.3">
      <c r="A40" s="4" t="s">
        <v>34</v>
      </c>
      <c r="B40" s="11">
        <v>44456.9</v>
      </c>
    </row>
    <row r="41" spans="1:2" x14ac:dyDescent="0.3">
      <c r="A41" s="7" t="s">
        <v>35</v>
      </c>
      <c r="B41" s="12">
        <f>B34+B35+B36+B37+B38+B39+B40</f>
        <v>62456.9</v>
      </c>
    </row>
    <row r="42" spans="1:2" x14ac:dyDescent="0.3">
      <c r="A42" s="14" t="s">
        <v>36</v>
      </c>
      <c r="B42" s="15">
        <f>B23+B33+B41</f>
        <v>77560.06</v>
      </c>
    </row>
    <row r="46" spans="1:2" x14ac:dyDescent="0.3">
      <c r="A46" s="21" t="s">
        <v>39</v>
      </c>
      <c r="B46" s="17"/>
    </row>
  </sheetData>
  <mergeCells count="4">
    <mergeCell ref="A1:B1"/>
    <mergeCell ref="A2:B2"/>
    <mergeCell ref="A3:B3"/>
    <mergeCell ref="A46:B4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Biman Kalita</cp:lastModifiedBy>
  <dcterms:created xsi:type="dcterms:W3CDTF">2022-03-24T08:55:57Z</dcterms:created>
  <dcterms:modified xsi:type="dcterms:W3CDTF">2026-09-17T20:25:09Z</dcterms:modified>
  <cp:category/>
</cp:coreProperties>
</file>